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pq\Desktop\SPORTS ANALYTICS\Proyecto 1\"/>
    </mc:Choice>
  </mc:AlternateContent>
  <xr:revisionPtr revIDLastSave="0" documentId="13_ncr:1_{EFEFC96F-2197-4EB2-A87D-10D75BDE9A97}" xr6:coauthVersionLast="47" xr6:coauthVersionMax="47" xr10:uidLastSave="{00000000-0000-0000-0000-000000000000}"/>
  <bookViews>
    <workbookView xWindow="-120" yWindow="-120" windowWidth="29040" windowHeight="15720" xr2:uid="{5F306329-C135-4956-9151-7F6B5AC2B98C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1" i="1" l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2" i="1"/>
  <c r="D3" i="1"/>
  <c r="D4" i="1"/>
  <c r="D5" i="1"/>
  <c r="D6" i="1"/>
  <c r="D7" i="1"/>
</calcChain>
</file>

<file path=xl/sharedStrings.xml><?xml version="1.0" encoding="utf-8"?>
<sst xmlns="http://schemas.openxmlformats.org/spreadsheetml/2006/main" count="27" uniqueCount="27">
  <si>
    <t>TEAM</t>
  </si>
  <si>
    <t>POINTS</t>
  </si>
  <si>
    <t>REAL MADRID</t>
  </si>
  <si>
    <t>ARRIVALS_M</t>
  </si>
  <si>
    <t>DEPARTURES_M</t>
  </si>
  <si>
    <t>ATLÉTICO</t>
  </si>
  <si>
    <t>BARCELONA</t>
  </si>
  <si>
    <t>VILLAREAL</t>
  </si>
  <si>
    <t>BETIS</t>
  </si>
  <si>
    <t>GOALS_DIFFERENCE</t>
  </si>
  <si>
    <t>CELTA</t>
  </si>
  <si>
    <t>BALANCE_M</t>
  </si>
  <si>
    <t>GETAFE</t>
  </si>
  <si>
    <t>RAYO</t>
  </si>
  <si>
    <t>VALENCIA</t>
  </si>
  <si>
    <t>REAL SOCIEDAD</t>
  </si>
  <si>
    <t>ESPANYOL</t>
  </si>
  <si>
    <t>ATHLETIC</t>
  </si>
  <si>
    <t>SEVILLA</t>
  </si>
  <si>
    <t>ALAVÉS</t>
  </si>
  <si>
    <t>ELCHE</t>
  </si>
  <si>
    <t>LEVANTE</t>
  </si>
  <si>
    <t>OSASUNA</t>
  </si>
  <si>
    <t>MALLORCA</t>
  </si>
  <si>
    <t>GIRONA</t>
  </si>
  <si>
    <t>OVIEDO</t>
  </si>
  <si>
    <t>TOTAL_MARKET_VALUE_M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</si>
</sst>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71DD1-9FD8-459E-96D4-2C5224D72076}" name="Tabla1" displayName="Tabla1" ref="A1:G21" totalsRowShown="0">
  <autoFilter ref="A1:G21" xr:uid="{2B871DD1-9FD8-459E-96D4-2C5224D72076}"/>
  <tableColumns count="7">
    <tableColumn id="1" xr3:uid="{DDC0053B-8679-4A12-B0D7-E972C05DACDF}" name="TEAM"/>
    <tableColumn id="2" xr3:uid="{DD8A4B9E-DCB8-4EC6-A441-D8F46DABCC61}" name="ARRIVALS_M"/>
    <tableColumn id="3" xr3:uid="{C9A90206-472F-4080-931C-5CA1FC5A3947}" name="DEPARTURES_M"/>
    <tableColumn id="4" xr3:uid="{77DBE503-6ABB-4AE1-B5DD-33C195159315}" name="BALANCE_M" dataDxfId="0">
      <calculatedColumnFormula>Tabla1[[#This Row],[DEPARTURES_M]]-Tabla1[[#This Row],[ARRIVALS_M]]</calculatedColumnFormula>
    </tableColumn>
    <tableColumn id="5" xr3:uid="{69329459-8D05-4EF3-8FF5-6E602EE83A5B}" name="GOALS_DIFFERENCE"/>
    <tableColumn id="6" xr3:uid="{95A40233-3DE9-47DE-A1C2-11B0A9AA0B7A}" name="POINTS"/>
    <tableColumn id="7" xr3:uid="{A481A4E1-A55F-446F-8175-D8C90F72E231}" name="TOTAL_MARKET_VALUE_M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E9A01-66A4-4160-9C05-21EBC0082097}">
  <dimension ref="A1:G21"/>
  <sheetViews>
    <sheetView tabSelected="1" workbookViewId="0">
      <selection activeCell="G28" sqref="G28"/>
    </sheetView>
  </sheetViews>
  <sheetFormatPr baseColWidth="10" defaultRowHeight="14.25" x14ac:dyDescent="0.2"/>
  <cols>
    <col min="1" max="1" width="20.5" bestFit="1" customWidth="1"/>
    <col min="2" max="2" width="14.5" bestFit="1" customWidth="1"/>
    <col min="3" max="3" width="18.375" bestFit="1" customWidth="1"/>
    <col min="4" max="4" width="14.25" bestFit="1" customWidth="1"/>
    <col min="5" max="5" width="22.5" bestFit="1" customWidth="1"/>
    <col min="7" max="7" width="28" bestFit="1" customWidth="1"/>
  </cols>
  <sheetData>
    <row r="1" spans="1:7" x14ac:dyDescent="0.2">
      <c r="A1" t="s">
        <v>0</v>
      </c>
      <c r="B1" t="s">
        <v>3</v>
      </c>
      <c r="C1" t="s">
        <v>4</v>
      </c>
      <c r="D1" t="s">
        <v>11</v>
      </c>
      <c r="E1" t="s">
        <v>9</v>
      </c>
      <c r="F1" t="s">
        <v>1</v>
      </c>
      <c r="G1" t="s">
        <v>26</v>
      </c>
    </row>
    <row r="2" spans="1:7" x14ac:dyDescent="0.2">
      <c r="A2" t="s">
        <v>2</v>
      </c>
      <c r="B2">
        <v>167.5</v>
      </c>
      <c r="C2">
        <v>27</v>
      </c>
      <c r="D2">
        <f>Tabla1[[#This Row],[DEPARTURES_M]]-Tabla1[[#This Row],[ARRIVALS_M]]</f>
        <v>-140.5</v>
      </c>
      <c r="E2">
        <v>42</v>
      </c>
      <c r="F2">
        <v>86</v>
      </c>
      <c r="G2">
        <v>1300</v>
      </c>
    </row>
    <row r="3" spans="1:7" x14ac:dyDescent="0.2">
      <c r="A3" t="s">
        <v>6</v>
      </c>
      <c r="B3">
        <v>27.5</v>
      </c>
      <c r="C3">
        <v>31.2</v>
      </c>
      <c r="D3">
        <f>Tabla1[[#This Row],[DEPARTURES_M]]-Tabla1[[#This Row],[ARRIVALS_M]]</f>
        <v>3.6999999999999993</v>
      </c>
      <c r="E3">
        <v>59</v>
      </c>
      <c r="F3">
        <v>94</v>
      </c>
      <c r="G3">
        <v>1190</v>
      </c>
    </row>
    <row r="4" spans="1:7" x14ac:dyDescent="0.2">
      <c r="A4" t="s">
        <v>5</v>
      </c>
      <c r="B4">
        <v>230.95</v>
      </c>
      <c r="C4">
        <v>145.5</v>
      </c>
      <c r="D4">
        <f>Tabla1[[#This Row],[DEPARTURES_M]]-Tabla1[[#This Row],[ARRIVALS_M]]</f>
        <v>-85.449999999999989</v>
      </c>
      <c r="E4">
        <v>18</v>
      </c>
      <c r="F4">
        <v>69</v>
      </c>
      <c r="G4">
        <v>646.9</v>
      </c>
    </row>
    <row r="5" spans="1:7" x14ac:dyDescent="0.2">
      <c r="A5" t="s">
        <v>7</v>
      </c>
      <c r="B5">
        <v>105.5</v>
      </c>
      <c r="C5">
        <v>108</v>
      </c>
      <c r="D5">
        <f>Tabla1[[#This Row],[DEPARTURES_M]]-Tabla1[[#This Row],[ARRIVALS_M]]</f>
        <v>2.5</v>
      </c>
      <c r="E5">
        <v>26</v>
      </c>
      <c r="F5">
        <v>72</v>
      </c>
      <c r="G5">
        <v>375.55</v>
      </c>
    </row>
    <row r="6" spans="1:7" x14ac:dyDescent="0.2">
      <c r="A6" t="s">
        <v>8</v>
      </c>
      <c r="B6">
        <v>62.5</v>
      </c>
      <c r="C6">
        <v>61.63</v>
      </c>
      <c r="D6">
        <f>Tabla1[[#This Row],[DEPARTURES_M]]-Tabla1[[#This Row],[ARRIVALS_M]]</f>
        <v>-0.86999999999999744</v>
      </c>
      <c r="E6">
        <v>11</v>
      </c>
      <c r="F6">
        <v>60</v>
      </c>
      <c r="G6">
        <v>253.05</v>
      </c>
    </row>
    <row r="7" spans="1:7" x14ac:dyDescent="0.2">
      <c r="A7" t="s">
        <v>10</v>
      </c>
      <c r="B7">
        <v>15</v>
      </c>
      <c r="C7">
        <v>56.7</v>
      </c>
      <c r="D7">
        <f>Tabla1[[#This Row],[DEPARTURES_M]]-Tabla1[[#This Row],[ARRIVALS_M]]</f>
        <v>41.7</v>
      </c>
      <c r="E7">
        <v>5</v>
      </c>
      <c r="F7">
        <v>54</v>
      </c>
      <c r="G7">
        <v>207.6</v>
      </c>
    </row>
    <row r="8" spans="1:7" x14ac:dyDescent="0.2">
      <c r="A8" t="s">
        <v>12</v>
      </c>
      <c r="B8">
        <v>1.8</v>
      </c>
      <c r="C8">
        <v>12.6</v>
      </c>
      <c r="D8">
        <f>Tabla1[[#This Row],[DEPARTURES_M]]-Tabla1[[#This Row],[ARRIVALS_M]]</f>
        <v>10.799999999999999</v>
      </c>
      <c r="E8">
        <v>-6</v>
      </c>
      <c r="F8">
        <v>51</v>
      </c>
      <c r="G8">
        <v>95.6</v>
      </c>
    </row>
    <row r="9" spans="1:7" x14ac:dyDescent="0.2">
      <c r="A9" t="s">
        <v>13</v>
      </c>
      <c r="B9">
        <v>7.1</v>
      </c>
      <c r="C9">
        <v>12.3</v>
      </c>
      <c r="D9">
        <f>Tabla1[[#This Row],[DEPARTURES_M]]-Tabla1[[#This Row],[ARRIVALS_M]]</f>
        <v>5.2000000000000011</v>
      </c>
      <c r="E9">
        <v>-3</v>
      </c>
      <c r="F9">
        <v>50</v>
      </c>
      <c r="G9">
        <v>106.2</v>
      </c>
    </row>
    <row r="10" spans="1:7" x14ac:dyDescent="0.2">
      <c r="A10" t="s">
        <v>14</v>
      </c>
      <c r="B10">
        <v>16.5</v>
      </c>
      <c r="C10">
        <v>26.13</v>
      </c>
      <c r="D10">
        <f>Tabla1[[#This Row],[DEPARTURES_M]]-Tabla1[[#This Row],[ARRIVALS_M]]</f>
        <v>9.629999999999999</v>
      </c>
      <c r="E10">
        <v>-9</v>
      </c>
      <c r="F10">
        <v>49</v>
      </c>
      <c r="G10">
        <v>147.03</v>
      </c>
    </row>
    <row r="11" spans="1:7" x14ac:dyDescent="0.2">
      <c r="A11" t="s">
        <v>15</v>
      </c>
      <c r="B11">
        <v>21.5</v>
      </c>
      <c r="C11">
        <v>85</v>
      </c>
      <c r="D11">
        <f>Tabla1[[#This Row],[DEPARTURES_M]]-Tabla1[[#This Row],[ARRIVALS_M]]</f>
        <v>63.5</v>
      </c>
      <c r="E11">
        <v>-2</v>
      </c>
      <c r="F11">
        <v>46</v>
      </c>
      <c r="G11">
        <v>299</v>
      </c>
    </row>
    <row r="12" spans="1:7" x14ac:dyDescent="0.2">
      <c r="A12" t="s">
        <v>16</v>
      </c>
      <c r="B12">
        <v>15.2</v>
      </c>
      <c r="C12">
        <v>25</v>
      </c>
      <c r="D12">
        <f>Tabla1[[#This Row],[DEPARTURES_M]]-Tabla1[[#This Row],[ARRIVALS_M]]</f>
        <v>9.8000000000000007</v>
      </c>
      <c r="E12">
        <v>-12</v>
      </c>
      <c r="F12">
        <v>46</v>
      </c>
      <c r="G12">
        <v>135.15</v>
      </c>
    </row>
    <row r="13" spans="1:7" x14ac:dyDescent="0.2">
      <c r="A13" t="s">
        <v>17</v>
      </c>
      <c r="B13">
        <v>22</v>
      </c>
      <c r="C13">
        <v>4.2</v>
      </c>
      <c r="D13">
        <f>Tabla1[[#This Row],[DEPARTURES_M]]-Tabla1[[#This Row],[ARRIVALS_M]]</f>
        <v>-17.8</v>
      </c>
      <c r="E13">
        <v>-15</v>
      </c>
      <c r="F13">
        <v>45</v>
      </c>
      <c r="G13">
        <v>237.65</v>
      </c>
    </row>
    <row r="14" spans="1:7" x14ac:dyDescent="0.2">
      <c r="A14" t="s">
        <v>18</v>
      </c>
      <c r="B14">
        <v>0.25</v>
      </c>
      <c r="C14">
        <v>55</v>
      </c>
      <c r="D14">
        <f>Tabla1[[#This Row],[DEPARTURES_M]]-Tabla1[[#This Row],[ARRIVALS_M]]</f>
        <v>54.75</v>
      </c>
      <c r="E14">
        <v>-14</v>
      </c>
      <c r="F14">
        <v>43</v>
      </c>
      <c r="G14">
        <v>176.5</v>
      </c>
    </row>
    <row r="15" spans="1:7" x14ac:dyDescent="0.2">
      <c r="A15" t="s">
        <v>19</v>
      </c>
      <c r="B15">
        <v>11.12</v>
      </c>
      <c r="C15">
        <v>32</v>
      </c>
      <c r="D15">
        <f>Tabla1[[#This Row],[DEPARTURES_M]]-Tabla1[[#This Row],[ARRIVALS_M]]</f>
        <v>20.880000000000003</v>
      </c>
      <c r="E15">
        <v>-12</v>
      </c>
      <c r="F15">
        <v>43</v>
      </c>
      <c r="G15">
        <v>82.68</v>
      </c>
    </row>
    <row r="16" spans="1:7" x14ac:dyDescent="0.2">
      <c r="A16" t="s">
        <v>20</v>
      </c>
      <c r="B16">
        <v>8.6</v>
      </c>
      <c r="C16">
        <v>31.5</v>
      </c>
      <c r="D16">
        <f>Tabla1[[#This Row],[DEPARTURES_M]]-Tabla1[[#This Row],[ARRIVALS_M]]</f>
        <v>22.9</v>
      </c>
      <c r="E16">
        <v>-8</v>
      </c>
      <c r="F16">
        <v>43</v>
      </c>
      <c r="G16">
        <v>128.05000000000001</v>
      </c>
    </row>
    <row r="17" spans="1:7" x14ac:dyDescent="0.2">
      <c r="A17" t="s">
        <v>21</v>
      </c>
      <c r="B17">
        <v>5.2</v>
      </c>
      <c r="C17">
        <v>5.5</v>
      </c>
      <c r="D17">
        <f>Tabla1[[#This Row],[DEPARTURES_M]]-Tabla1[[#This Row],[ARRIVALS_M]]</f>
        <v>0.29999999999999982</v>
      </c>
      <c r="E17">
        <v>-14</v>
      </c>
      <c r="F17">
        <v>42</v>
      </c>
      <c r="G17">
        <v>113.95</v>
      </c>
    </row>
    <row r="18" spans="1:7" x14ac:dyDescent="0.2">
      <c r="A18" t="s">
        <v>22</v>
      </c>
      <c r="B18">
        <v>30.5</v>
      </c>
      <c r="C18">
        <v>12</v>
      </c>
      <c r="D18">
        <f>Tabla1[[#This Row],[DEPARTURES_M]]-Tabla1[[#This Row],[ARRIVALS_M]]</f>
        <v>-18.5</v>
      </c>
      <c r="E18">
        <v>-6</v>
      </c>
      <c r="F18">
        <v>42</v>
      </c>
      <c r="G18">
        <v>102.7</v>
      </c>
    </row>
    <row r="19" spans="1:7" x14ac:dyDescent="0.2">
      <c r="A19" t="s">
        <v>23</v>
      </c>
      <c r="B19">
        <v>8.8000000000000007</v>
      </c>
      <c r="C19">
        <v>9.6</v>
      </c>
      <c r="D19">
        <f>Tabla1[[#This Row],[DEPARTURES_M]]-Tabla1[[#This Row],[ARRIVALS_M]]</f>
        <v>0.79999999999999893</v>
      </c>
      <c r="E19">
        <v>-10</v>
      </c>
      <c r="F19">
        <v>42</v>
      </c>
      <c r="G19">
        <v>83.2</v>
      </c>
    </row>
    <row r="20" spans="1:7" x14ac:dyDescent="0.2">
      <c r="A20" t="s">
        <v>24</v>
      </c>
      <c r="B20">
        <v>27.35</v>
      </c>
      <c r="C20">
        <v>56.5</v>
      </c>
      <c r="D20">
        <f>Tabla1[[#This Row],[DEPARTURES_M]]-Tabla1[[#This Row],[ARRIVALS_M]]</f>
        <v>29.15</v>
      </c>
      <c r="E20">
        <v>-16</v>
      </c>
      <c r="F20">
        <v>41</v>
      </c>
      <c r="G20">
        <v>199.2</v>
      </c>
    </row>
    <row r="21" spans="1:7" x14ac:dyDescent="0.2">
      <c r="A21" t="s">
        <v>25</v>
      </c>
      <c r="B21">
        <v>4</v>
      </c>
      <c r="C21">
        <v>0.05</v>
      </c>
      <c r="D21">
        <f>Tabla1[[#This Row],[DEPARTURES_M]]-Tabla1[[#This Row],[ARRIVALS_M]]</f>
        <v>-3.95</v>
      </c>
      <c r="E21">
        <v>-34</v>
      </c>
      <c r="F21">
        <v>29</v>
      </c>
      <c r="G21">
        <v>60.95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Pérez Quintás, Rodrigo</dc:creator>
  <cp:lastModifiedBy>Pérez Quintás, Rodrigo</cp:lastModifiedBy>
  <dcterms:created xsi:type="dcterms:W3CDTF">2026-07-02T14:43:33Z</dcterms:created>
  <dcterms:modified xsi:type="dcterms:W3CDTF">2026-07-03T13:58:26Z</dcterms:modified>
</cp:coreProperties>
</file>